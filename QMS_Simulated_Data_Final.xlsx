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499502a90aebfee/Documents/pharmaceutical_QMS_project/"/>
    </mc:Choice>
  </mc:AlternateContent>
  <xr:revisionPtr revIDLastSave="0" documentId="8_{4028CB20-0065-40A9-A18A-DE738690C5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ality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P41" i="1" s="1"/>
  <c r="N41" i="1"/>
  <c r="O40" i="1"/>
  <c r="P40" i="1" s="1"/>
  <c r="N40" i="1"/>
  <c r="O39" i="1"/>
  <c r="P39" i="1" s="1"/>
  <c r="N39" i="1"/>
  <c r="O38" i="1"/>
  <c r="P38" i="1" s="1"/>
  <c r="N38" i="1"/>
  <c r="O37" i="1"/>
  <c r="P37" i="1" s="1"/>
  <c r="N37" i="1"/>
  <c r="O36" i="1"/>
  <c r="P36" i="1" s="1"/>
  <c r="N36" i="1"/>
  <c r="O35" i="1"/>
  <c r="P35" i="1" s="1"/>
  <c r="N35" i="1"/>
  <c r="O34" i="1"/>
  <c r="P34" i="1" s="1"/>
  <c r="N34" i="1"/>
  <c r="O33" i="1"/>
  <c r="P33" i="1" s="1"/>
  <c r="N33" i="1"/>
  <c r="O32" i="1"/>
  <c r="P32" i="1" s="1"/>
  <c r="N32" i="1"/>
  <c r="O31" i="1"/>
  <c r="P31" i="1" s="1"/>
  <c r="N31" i="1"/>
  <c r="O30" i="1"/>
  <c r="P30" i="1" s="1"/>
  <c r="N30" i="1"/>
  <c r="O29" i="1"/>
  <c r="P29" i="1" s="1"/>
  <c r="N29" i="1"/>
  <c r="O28" i="1"/>
  <c r="P28" i="1" s="1"/>
  <c r="N28" i="1"/>
  <c r="O27" i="1"/>
  <c r="P27" i="1" s="1"/>
  <c r="N27" i="1"/>
  <c r="O26" i="1"/>
  <c r="P26" i="1" s="1"/>
  <c r="N26" i="1"/>
  <c r="O25" i="1"/>
  <c r="P25" i="1" s="1"/>
  <c r="N25" i="1"/>
  <c r="O24" i="1"/>
  <c r="P24" i="1" s="1"/>
  <c r="N24" i="1"/>
  <c r="O23" i="1"/>
  <c r="P23" i="1" s="1"/>
  <c r="N23" i="1"/>
  <c r="O22" i="1"/>
  <c r="P22" i="1" s="1"/>
  <c r="N22" i="1"/>
  <c r="O21" i="1"/>
  <c r="P21" i="1" s="1"/>
  <c r="N21" i="1"/>
  <c r="O20" i="1"/>
  <c r="P20" i="1" s="1"/>
  <c r="N20" i="1"/>
  <c r="O19" i="1"/>
  <c r="P19" i="1" s="1"/>
  <c r="N19" i="1"/>
  <c r="O18" i="1"/>
  <c r="P18" i="1" s="1"/>
  <c r="N18" i="1"/>
  <c r="O17" i="1"/>
  <c r="P17" i="1" s="1"/>
  <c r="N17" i="1"/>
  <c r="O16" i="1"/>
  <c r="P16" i="1" s="1"/>
  <c r="N16" i="1"/>
  <c r="O15" i="1"/>
  <c r="P15" i="1" s="1"/>
  <c r="N15" i="1"/>
  <c r="O14" i="1"/>
  <c r="P14" i="1" s="1"/>
  <c r="N14" i="1"/>
  <c r="O13" i="1"/>
  <c r="P13" i="1" s="1"/>
  <c r="N13" i="1"/>
  <c r="O12" i="1"/>
  <c r="P12" i="1" s="1"/>
  <c r="N12" i="1"/>
  <c r="O11" i="1"/>
  <c r="P11" i="1" s="1"/>
  <c r="N11" i="1"/>
  <c r="P10" i="1"/>
  <c r="O10" i="1"/>
  <c r="N10" i="1"/>
  <c r="O9" i="1"/>
  <c r="P9" i="1" s="1"/>
  <c r="N9" i="1"/>
  <c r="O8" i="1"/>
  <c r="P8" i="1" s="1"/>
  <c r="N8" i="1"/>
  <c r="O7" i="1"/>
  <c r="P7" i="1" s="1"/>
  <c r="N7" i="1"/>
  <c r="O6" i="1"/>
  <c r="P6" i="1" s="1"/>
  <c r="N6" i="1"/>
  <c r="O5" i="1"/>
  <c r="P5" i="1" s="1"/>
  <c r="N5" i="1"/>
  <c r="O4" i="1"/>
  <c r="P4" i="1" s="1"/>
  <c r="N4" i="1"/>
  <c r="O3" i="1"/>
  <c r="P3" i="1" s="1"/>
  <c r="N3" i="1"/>
  <c r="O2" i="1"/>
  <c r="P2" i="1" s="1"/>
  <c r="N2" i="1"/>
</calcChain>
</file>

<file path=xl/sharedStrings.xml><?xml version="1.0" encoding="utf-8"?>
<sst xmlns="http://schemas.openxmlformats.org/spreadsheetml/2006/main" count="416" uniqueCount="142">
  <si>
    <t>DEV-001</t>
  </si>
  <si>
    <t>Deviation</t>
  </si>
  <si>
    <t>Packaging</t>
  </si>
  <si>
    <t>Line-clearance checklist was not signed before packaging started</t>
  </si>
  <si>
    <t>Major</t>
  </si>
  <si>
    <t>Personnel</t>
  </si>
  <si>
    <t>QA Analyst 1</t>
  </si>
  <si>
    <t>Closed</t>
  </si>
  <si>
    <t>Yes</t>
  </si>
  <si>
    <t>Effective</t>
  </si>
  <si>
    <t>Record ID</t>
  </si>
  <si>
    <t>Record Type</t>
  </si>
  <si>
    <t>Open Date</t>
  </si>
  <si>
    <t>Department</t>
  </si>
  <si>
    <t>Quality Problem</t>
  </si>
  <si>
    <t>Risk Level</t>
  </si>
  <si>
    <t>Root Cause</t>
  </si>
  <si>
    <t>Assigned Owner</t>
  </si>
  <si>
    <t>Due Date</t>
  </si>
  <si>
    <t>Closure Date</t>
  </si>
  <si>
    <t>Status</t>
  </si>
  <si>
    <t>CAPA Required</t>
  </si>
  <si>
    <t>CAPA Effectiveness</t>
  </si>
  <si>
    <t>Days to Close</t>
  </si>
  <si>
    <t>Days Overdue</t>
  </si>
  <si>
    <t>Overdue Status</t>
  </si>
  <si>
    <t>DEV-002</t>
  </si>
  <si>
    <t>Manufacturing</t>
  </si>
  <si>
    <t>Room temperature exceeded the approved limit for 25 minutes.</t>
  </si>
  <si>
    <t>Environment</t>
  </si>
  <si>
    <t>QA Analyst 2</t>
  </si>
  <si>
    <t>DEV-003</t>
  </si>
  <si>
    <t>Warehouse</t>
  </si>
  <si>
    <t>Incoming material label was missing the internal lot number.</t>
  </si>
  <si>
    <t>Minor</t>
  </si>
  <si>
    <t>Procedure</t>
  </si>
  <si>
    <t>QA Analyst 3</t>
  </si>
  <si>
    <t>No</t>
  </si>
  <si>
    <t>Not Applicable</t>
  </si>
  <si>
    <t>DEV-004</t>
  </si>
  <si>
    <t>Quality Control</t>
  </si>
  <si>
    <t>A test result was entered into the worksheet without a second-person verification.</t>
  </si>
  <si>
    <t>QC Supervisor</t>
  </si>
  <si>
    <t>DEV-005</t>
  </si>
  <si>
    <t>An obsolete SOP copy was found at the packaging workstation.</t>
  </si>
  <si>
    <t>Document Control</t>
  </si>
  <si>
    <t>DEV-006</t>
  </si>
  <si>
    <t>Mixing time was five minutes shorter than the approved batch instruction.</t>
  </si>
  <si>
    <t>Critical</t>
  </si>
  <si>
    <t>QA Manager</t>
  </si>
  <si>
    <t>DEV-007</t>
  </si>
  <si>
    <t>A released raw material was stored temporarily in the quarantine area.</t>
  </si>
  <si>
    <t>Training</t>
  </si>
  <si>
    <t>Warehouse Lead</t>
  </si>
  <si>
    <t>DEV-008</t>
  </si>
  <si>
    <t>Engineering</t>
  </si>
  <si>
    <t>Preventive maintenance was completed two days after its due date.</t>
  </si>
  <si>
    <t>Equipment</t>
  </si>
  <si>
    <t>Engineering Lead</t>
  </si>
  <si>
    <t>DEV-009</t>
  </si>
  <si>
    <t>Material reconciliation exceeded the approved acceptance range.</t>
  </si>
  <si>
    <t>Measurement</t>
  </si>
  <si>
    <t>Under Investigation</t>
  </si>
  <si>
    <t>Pending Review</t>
  </si>
  <si>
    <t>DEV-010</t>
  </si>
  <si>
    <t>Equipment-cleaning record was missing the operator's date.</t>
  </si>
  <si>
    <t>DEV-011</t>
  </si>
  <si>
    <t>Balance verification was performed after sample weighing began.</t>
  </si>
  <si>
    <t>DEV-012</t>
  </si>
  <si>
    <t>A process parameter was corrected without documenting the reason for the change.</t>
  </si>
  <si>
    <t>CAPA in Progress</t>
  </si>
  <si>
    <t>DEV-013</t>
  </si>
  <si>
    <t>Printed packaging components remained on the line after batch completion.</t>
  </si>
  <si>
    <t>Packaging Lead</t>
  </si>
  <si>
    <t>Pending Approval</t>
  </si>
  <si>
    <t>DEV-014</t>
  </si>
  <si>
    <t>Temperature-monitoring data contained a four-hour recording gap.</t>
  </si>
  <si>
    <t>Ineffective</t>
  </si>
  <si>
    <t>DEV-015</t>
  </si>
  <si>
    <t>An operator performed a task before the required training was documented.</t>
  </si>
  <si>
    <t>Open</t>
  </si>
  <si>
    <t>CAPA-001</t>
  </si>
  <si>
    <t>CAPA</t>
  </si>
  <si>
    <t>Retrain operators and revise the line-clearance verification checklist.</t>
  </si>
  <si>
    <t>CAPA-002</t>
  </si>
  <si>
    <t>Install an automated alert for room-temperature excursions.</t>
  </si>
  <si>
    <t>CAPA-003</t>
  </si>
  <si>
    <t>Add mandatory second-person verification to the analytical worksheet.</t>
  </si>
  <si>
    <t>CAPA-004</t>
  </si>
  <si>
    <t>Remove uncontrolled SOP copies and introduce a monthly document check.</t>
  </si>
  <si>
    <t>CAPA-005</t>
  </si>
  <si>
    <t>Update mixing-step verification and retrain production operators.</t>
  </si>
  <si>
    <t>Manufacturing Lead</t>
  </si>
  <si>
    <t>CAPA-006</t>
  </si>
  <si>
    <t>Revise preventive-maintenance escalation and overdue-notification process.</t>
  </si>
  <si>
    <t>CAPA-007</t>
  </si>
  <si>
    <t>Revise reconciliation instructions and require independent verification.</t>
  </si>
  <si>
    <t>CAPA-008</t>
  </si>
  <si>
    <t>Introduce pre-use balance-verification prompts in the worksheet.</t>
  </si>
  <si>
    <t>CAPA-009</t>
  </si>
  <si>
    <t>Replace the temperature data logger and create a backup review procedure.</t>
  </si>
  <si>
    <t>CAPA-010</t>
  </si>
  <si>
    <t>Create a system block preventing task assignment before training completion.</t>
  </si>
  <si>
    <t>Training Coordinator</t>
  </si>
  <si>
    <t>CC-001</t>
  </si>
  <si>
    <t>Change Control</t>
  </si>
  <si>
    <t>Qualify a new supplier for primary packaging materials.</t>
  </si>
  <si>
    <t>Material</t>
  </si>
  <si>
    <t>Supplier Quality</t>
  </si>
  <si>
    <t>CC-002</t>
  </si>
  <si>
    <t>Replace the mixing vessel with a new model of equivalent capacity.</t>
  </si>
  <si>
    <t>Validation Lead</t>
  </si>
  <si>
    <t>CC-003</t>
  </si>
  <si>
    <t>Implement electronic approval for controlled SOP revisions.</t>
  </si>
  <si>
    <t>CC-004</t>
  </si>
  <si>
    <t>Update the approved analytical worksheet template.</t>
  </si>
  <si>
    <t>CC-005</t>
  </si>
  <si>
    <t>Introduce a barcode scanner for printed-component verification.</t>
  </si>
  <si>
    <t>AUD-001</t>
  </si>
  <si>
    <t>Audit Finding</t>
  </si>
  <si>
    <t>Two training records were not available during the internal audit.</t>
  </si>
  <si>
    <t>AUD-002</t>
  </si>
  <si>
    <t>The master document index did not show the current revision of one SOP.</t>
  </si>
  <si>
    <t>AUD-003</t>
  </si>
  <si>
    <t>Cleaning-log corrections did not consistently include initials and dates.</t>
  </si>
  <si>
    <t>AUD-004</t>
  </si>
  <si>
    <t>Calibration status labels were difficult to read on two instruments.</t>
  </si>
  <si>
    <t>AUD-005</t>
  </si>
  <si>
    <t>The area logbook review was not completed within the required timeframe.</t>
  </si>
  <si>
    <t>CMP-001</t>
  </si>
  <si>
    <t>Complaint</t>
  </si>
  <si>
    <t>Customer reported a bottle with a damaged tamper-evident seal.</t>
  </si>
  <si>
    <t>Complaint Coordinator</t>
  </si>
  <si>
    <t>CMP-002</t>
  </si>
  <si>
    <t>Customer reported an unreadable lot number on the product label.</t>
  </si>
  <si>
    <t>CMP-003</t>
  </si>
  <si>
    <t>Customer shipment contained one crushed outer carton.</t>
  </si>
  <si>
    <t>Distribution Lead</t>
  </si>
  <si>
    <t>CMP-004</t>
  </si>
  <si>
    <t>Customer reported that a pump dispenser did not operate correctly.</t>
  </si>
  <si>
    <t>CMP-005</t>
  </si>
  <si>
    <t>Customer reported product leakage inside the shipping carton.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</si>
</sst>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5">
    <dxf>
      <font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lityRecordsTable" displayName="QualityRecordsTable" ref="A1:P41" totalsRowShown="0">
  <autoFilter ref="A1:P41" xr:uid="{00000000-0009-0000-0100-000001000000}"/>
  <tableColumns count="16">
    <tableColumn id="1" xr3:uid="{00000000-0010-0000-0000-000001000000}" name="Record ID"/>
    <tableColumn id="2" xr3:uid="{00000000-0010-0000-0000-000002000000}" name="Record Type"/>
    <tableColumn id="3" xr3:uid="{00000000-0010-0000-0000-000003000000}" name="Open Date"/>
    <tableColumn id="4" xr3:uid="{00000000-0010-0000-0000-000004000000}" name="Department"/>
    <tableColumn id="5" xr3:uid="{00000000-0010-0000-0000-000005000000}" name="Quality Problem"/>
    <tableColumn id="6" xr3:uid="{00000000-0010-0000-0000-000006000000}" name="Risk Level"/>
    <tableColumn id="7" xr3:uid="{00000000-0010-0000-0000-000007000000}" name="Root Cause"/>
    <tableColumn id="8" xr3:uid="{00000000-0010-0000-0000-000008000000}" name="Assigned Owner"/>
    <tableColumn id="9" xr3:uid="{00000000-0010-0000-0000-000009000000}" name="Due Date"/>
    <tableColumn id="10" xr3:uid="{00000000-0010-0000-0000-00000A000000}" name="Closure Date"/>
    <tableColumn id="11" xr3:uid="{00000000-0010-0000-0000-00000B000000}" name="Status"/>
    <tableColumn id="12" xr3:uid="{00000000-0010-0000-0000-00000C000000}" name="CAPA Required"/>
    <tableColumn id="13" xr3:uid="{00000000-0010-0000-0000-00000D000000}" name="CAPA Effectiveness"/>
    <tableColumn id="14" xr3:uid="{00000000-0010-0000-0000-00000E000000}" name="Days to Close"/>
    <tableColumn id="15" xr3:uid="{00000000-0010-0000-0000-00000F000000}" name="Days Overdue"/>
    <tableColumn id="16" xr3:uid="{00000000-0010-0000-0000-000010000000}" name="Overdu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topLeftCell="E1" workbookViewId="0"/>
  </sheetViews>
  <sheetFormatPr defaultRowHeight="14.5" x14ac:dyDescent="0.35"/>
  <cols>
    <col min="1" max="1" width="13" customWidth="1"/>
    <col min="2" max="2" width="17" customWidth="1"/>
    <col min="3" max="3" width="13" customWidth="1"/>
    <col min="4" max="4" width="18" customWidth="1"/>
    <col min="5" max="5" width="56" customWidth="1"/>
    <col min="6" max="6" width="12" customWidth="1"/>
    <col min="7" max="7" width="17" customWidth="1"/>
    <col min="8" max="8" width="20" customWidth="1"/>
    <col min="9" max="10" width="13" customWidth="1"/>
    <col min="11" max="11" width="20" customWidth="1"/>
    <col min="12" max="12" width="15" customWidth="1"/>
    <col min="13" max="13" width="20" customWidth="1"/>
    <col min="14" max="16" width="14" customWidth="1"/>
    <col min="17" max="17" width="13.26953125" customWidth="1"/>
  </cols>
  <sheetData>
    <row r="1" spans="1:16" ht="21.4" customHeight="1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</row>
    <row r="2" spans="1:16" ht="22.65" customHeight="1" x14ac:dyDescent="0.35">
      <c r="A2" s="3" t="s">
        <v>0</v>
      </c>
      <c r="B2" s="3" t="s">
        <v>1</v>
      </c>
      <c r="C2" s="4">
        <v>46027</v>
      </c>
      <c r="D2" s="1" t="s">
        <v>2</v>
      </c>
      <c r="E2" s="1" t="s">
        <v>3</v>
      </c>
      <c r="F2" s="3" t="s">
        <v>4</v>
      </c>
      <c r="G2" s="3" t="s">
        <v>5</v>
      </c>
      <c r="H2" s="1" t="s">
        <v>6</v>
      </c>
      <c r="I2" s="4">
        <v>46057</v>
      </c>
      <c r="J2" s="5">
        <v>46050</v>
      </c>
      <c r="K2" s="3" t="s">
        <v>7</v>
      </c>
      <c r="L2" s="3" t="s">
        <v>8</v>
      </c>
      <c r="M2" s="3" t="s">
        <v>9</v>
      </c>
      <c r="N2" s="6">
        <f t="shared" ref="N2:N41" si="0">IF(J2="","",J2-C2)</f>
        <v>23</v>
      </c>
      <c r="O2" s="6">
        <f t="shared" ref="O2:O41" si="1">IF(K2="Closed",MAX(0,J2-I2),MAX(0,DATE(2026,7,27)-I2))</f>
        <v>0</v>
      </c>
      <c r="P2" s="3" t="str">
        <f t="shared" ref="P2:P41" si="2">IF(O2&gt;0,"Overdue","On Time")</f>
        <v>On Time</v>
      </c>
    </row>
    <row r="3" spans="1:16" ht="22.65" customHeight="1" x14ac:dyDescent="0.35">
      <c r="A3" s="3" t="s">
        <v>26</v>
      </c>
      <c r="B3" s="3" t="s">
        <v>1</v>
      </c>
      <c r="C3" s="4">
        <v>46031</v>
      </c>
      <c r="D3" s="3" t="s">
        <v>27</v>
      </c>
      <c r="E3" s="1" t="s">
        <v>28</v>
      </c>
      <c r="F3" s="3" t="s">
        <v>4</v>
      </c>
      <c r="G3" s="3" t="s">
        <v>29</v>
      </c>
      <c r="H3" s="3" t="s">
        <v>30</v>
      </c>
      <c r="I3" s="4">
        <v>46061</v>
      </c>
      <c r="J3" s="4">
        <v>46065</v>
      </c>
      <c r="K3" s="3" t="s">
        <v>7</v>
      </c>
      <c r="L3" s="3" t="s">
        <v>8</v>
      </c>
      <c r="M3" s="3" t="s">
        <v>9</v>
      </c>
      <c r="N3" s="6">
        <f t="shared" si="0"/>
        <v>34</v>
      </c>
      <c r="O3" s="6">
        <f t="shared" si="1"/>
        <v>4</v>
      </c>
      <c r="P3" s="3" t="str">
        <f t="shared" si="2"/>
        <v>Overdue</v>
      </c>
    </row>
    <row r="4" spans="1:16" ht="22.65" customHeight="1" x14ac:dyDescent="0.35">
      <c r="A4" s="3" t="s">
        <v>31</v>
      </c>
      <c r="B4" s="3" t="s">
        <v>1</v>
      </c>
      <c r="C4" s="4">
        <v>46036</v>
      </c>
      <c r="D4" s="3" t="s">
        <v>32</v>
      </c>
      <c r="E4" s="1" t="s">
        <v>33</v>
      </c>
      <c r="F4" s="3" t="s">
        <v>34</v>
      </c>
      <c r="G4" s="3" t="s">
        <v>35</v>
      </c>
      <c r="H4" s="3" t="s">
        <v>36</v>
      </c>
      <c r="I4" s="4">
        <v>46066</v>
      </c>
      <c r="J4" s="4">
        <v>46058</v>
      </c>
      <c r="K4" s="3" t="s">
        <v>7</v>
      </c>
      <c r="L4" s="3" t="s">
        <v>37</v>
      </c>
      <c r="M4" s="3" t="s">
        <v>38</v>
      </c>
      <c r="N4" s="6">
        <f t="shared" si="0"/>
        <v>22</v>
      </c>
      <c r="O4" s="6">
        <f t="shared" si="1"/>
        <v>0</v>
      </c>
      <c r="P4" s="3" t="str">
        <f t="shared" si="2"/>
        <v>On Time</v>
      </c>
    </row>
    <row r="5" spans="1:16" ht="22.65" customHeight="1" x14ac:dyDescent="0.35">
      <c r="A5" s="3" t="s">
        <v>39</v>
      </c>
      <c r="B5" s="3" t="s">
        <v>1</v>
      </c>
      <c r="C5" s="4">
        <v>46043</v>
      </c>
      <c r="D5" s="3" t="s">
        <v>40</v>
      </c>
      <c r="E5" s="1" t="s">
        <v>41</v>
      </c>
      <c r="F5" s="3" t="s">
        <v>4</v>
      </c>
      <c r="G5" s="3" t="s">
        <v>5</v>
      </c>
      <c r="H5" s="3" t="s">
        <v>42</v>
      </c>
      <c r="I5" s="4">
        <v>46073</v>
      </c>
      <c r="J5" s="4">
        <v>46082</v>
      </c>
      <c r="K5" s="3" t="s">
        <v>7</v>
      </c>
      <c r="L5" s="3" t="s">
        <v>8</v>
      </c>
      <c r="M5" s="3" t="s">
        <v>9</v>
      </c>
      <c r="N5" s="6">
        <f t="shared" si="0"/>
        <v>39</v>
      </c>
      <c r="O5" s="6">
        <f t="shared" si="1"/>
        <v>9</v>
      </c>
      <c r="P5" s="3" t="str">
        <f t="shared" si="2"/>
        <v>Overdue</v>
      </c>
    </row>
    <row r="6" spans="1:16" ht="22.65" customHeight="1" x14ac:dyDescent="0.35">
      <c r="A6" s="3" t="s">
        <v>43</v>
      </c>
      <c r="B6" s="3" t="s">
        <v>1</v>
      </c>
      <c r="C6" s="4">
        <v>46056</v>
      </c>
      <c r="D6" s="3" t="s">
        <v>2</v>
      </c>
      <c r="E6" s="1" t="s">
        <v>44</v>
      </c>
      <c r="F6" s="3" t="s">
        <v>4</v>
      </c>
      <c r="G6" s="3" t="s">
        <v>35</v>
      </c>
      <c r="H6" s="3" t="s">
        <v>45</v>
      </c>
      <c r="I6" s="4">
        <v>46086</v>
      </c>
      <c r="J6" s="4">
        <v>46083</v>
      </c>
      <c r="K6" s="3" t="s">
        <v>7</v>
      </c>
      <c r="L6" s="3" t="s">
        <v>8</v>
      </c>
      <c r="M6" s="3" t="s">
        <v>9</v>
      </c>
      <c r="N6" s="6">
        <f t="shared" si="0"/>
        <v>27</v>
      </c>
      <c r="O6" s="6">
        <f t="shared" si="1"/>
        <v>0</v>
      </c>
      <c r="P6" s="3" t="str">
        <f t="shared" si="2"/>
        <v>On Time</v>
      </c>
    </row>
    <row r="7" spans="1:16" ht="22.65" customHeight="1" x14ac:dyDescent="0.35">
      <c r="A7" s="3" t="s">
        <v>46</v>
      </c>
      <c r="B7" s="3" t="s">
        <v>1</v>
      </c>
      <c r="C7" s="4">
        <v>46064</v>
      </c>
      <c r="D7" s="3" t="s">
        <v>27</v>
      </c>
      <c r="E7" s="1" t="s">
        <v>47</v>
      </c>
      <c r="F7" s="3" t="s">
        <v>48</v>
      </c>
      <c r="G7" s="3" t="s">
        <v>5</v>
      </c>
      <c r="H7" s="3" t="s">
        <v>49</v>
      </c>
      <c r="I7" s="4">
        <v>46094</v>
      </c>
      <c r="J7" s="4">
        <v>46101</v>
      </c>
      <c r="K7" s="3" t="s">
        <v>7</v>
      </c>
      <c r="L7" s="3" t="s">
        <v>8</v>
      </c>
      <c r="M7" s="3" t="s">
        <v>9</v>
      </c>
      <c r="N7" s="6">
        <f t="shared" si="0"/>
        <v>37</v>
      </c>
      <c r="O7" s="6">
        <f t="shared" si="1"/>
        <v>7</v>
      </c>
      <c r="P7" s="3" t="str">
        <f t="shared" si="2"/>
        <v>Overdue</v>
      </c>
    </row>
    <row r="8" spans="1:16" ht="22.65" customHeight="1" x14ac:dyDescent="0.35">
      <c r="A8" s="3" t="s">
        <v>50</v>
      </c>
      <c r="B8" s="3" t="s">
        <v>1</v>
      </c>
      <c r="C8" s="4">
        <v>46071</v>
      </c>
      <c r="D8" s="3" t="s">
        <v>32</v>
      </c>
      <c r="E8" s="1" t="s">
        <v>51</v>
      </c>
      <c r="F8" s="3" t="s">
        <v>34</v>
      </c>
      <c r="G8" s="3" t="s">
        <v>52</v>
      </c>
      <c r="H8" s="3" t="s">
        <v>53</v>
      </c>
      <c r="I8" s="4">
        <v>46101</v>
      </c>
      <c r="J8" s="4">
        <v>46091</v>
      </c>
      <c r="K8" s="3" t="s">
        <v>7</v>
      </c>
      <c r="L8" s="3" t="s">
        <v>37</v>
      </c>
      <c r="M8" s="3" t="s">
        <v>38</v>
      </c>
      <c r="N8" s="6">
        <f t="shared" si="0"/>
        <v>20</v>
      </c>
      <c r="O8" s="6">
        <f t="shared" si="1"/>
        <v>0</v>
      </c>
      <c r="P8" s="3" t="str">
        <f t="shared" si="2"/>
        <v>On Time</v>
      </c>
    </row>
    <row r="9" spans="1:16" ht="22.65" customHeight="1" x14ac:dyDescent="0.35">
      <c r="A9" s="3" t="s">
        <v>54</v>
      </c>
      <c r="B9" s="3" t="s">
        <v>1</v>
      </c>
      <c r="C9" s="4">
        <v>46083</v>
      </c>
      <c r="D9" s="3" t="s">
        <v>55</v>
      </c>
      <c r="E9" s="1" t="s">
        <v>56</v>
      </c>
      <c r="F9" s="3" t="s">
        <v>4</v>
      </c>
      <c r="G9" s="3" t="s">
        <v>57</v>
      </c>
      <c r="H9" s="3" t="s">
        <v>58</v>
      </c>
      <c r="I9" s="4">
        <v>46113</v>
      </c>
      <c r="J9" s="4">
        <v>46120</v>
      </c>
      <c r="K9" s="3" t="s">
        <v>7</v>
      </c>
      <c r="L9" s="3" t="s">
        <v>8</v>
      </c>
      <c r="M9" s="3" t="s">
        <v>9</v>
      </c>
      <c r="N9" s="6">
        <f t="shared" si="0"/>
        <v>37</v>
      </c>
      <c r="O9" s="6">
        <f t="shared" si="1"/>
        <v>7</v>
      </c>
      <c r="P9" s="3" t="str">
        <f t="shared" si="2"/>
        <v>Overdue</v>
      </c>
    </row>
    <row r="10" spans="1:16" ht="22.65" customHeight="1" x14ac:dyDescent="0.35">
      <c r="A10" s="3" t="s">
        <v>59</v>
      </c>
      <c r="B10" s="3" t="s">
        <v>1</v>
      </c>
      <c r="C10" s="4">
        <v>46093</v>
      </c>
      <c r="D10" s="3" t="s">
        <v>2</v>
      </c>
      <c r="E10" s="1" t="s">
        <v>60</v>
      </c>
      <c r="F10" s="3" t="s">
        <v>48</v>
      </c>
      <c r="G10" s="3" t="s">
        <v>61</v>
      </c>
      <c r="H10" s="3" t="s">
        <v>49</v>
      </c>
      <c r="I10" s="4">
        <v>46123</v>
      </c>
      <c r="J10" s="4"/>
      <c r="K10" s="3" t="s">
        <v>62</v>
      </c>
      <c r="L10" s="3" t="s">
        <v>8</v>
      </c>
      <c r="M10" s="3" t="s">
        <v>63</v>
      </c>
      <c r="N10" s="6" t="str">
        <f t="shared" si="0"/>
        <v/>
      </c>
      <c r="O10" s="6">
        <f t="shared" si="1"/>
        <v>107</v>
      </c>
      <c r="P10" s="3" t="str">
        <f t="shared" si="2"/>
        <v>Overdue</v>
      </c>
    </row>
    <row r="11" spans="1:16" ht="22.65" customHeight="1" x14ac:dyDescent="0.35">
      <c r="A11" s="3" t="s">
        <v>64</v>
      </c>
      <c r="B11" s="3" t="s">
        <v>1</v>
      </c>
      <c r="C11" s="4">
        <v>46106</v>
      </c>
      <c r="D11" s="3" t="s">
        <v>27</v>
      </c>
      <c r="E11" s="1" t="s">
        <v>65</v>
      </c>
      <c r="F11" s="3" t="s">
        <v>34</v>
      </c>
      <c r="G11" s="3" t="s">
        <v>5</v>
      </c>
      <c r="H11" s="3" t="s">
        <v>6</v>
      </c>
      <c r="I11" s="4">
        <v>46136</v>
      </c>
      <c r="J11" s="4">
        <v>46127</v>
      </c>
      <c r="K11" s="3" t="s">
        <v>7</v>
      </c>
      <c r="L11" s="3" t="s">
        <v>37</v>
      </c>
      <c r="M11" s="3" t="s">
        <v>38</v>
      </c>
      <c r="N11" s="6">
        <f t="shared" si="0"/>
        <v>21</v>
      </c>
      <c r="O11" s="6">
        <f t="shared" si="1"/>
        <v>0</v>
      </c>
      <c r="P11" s="3" t="str">
        <f t="shared" si="2"/>
        <v>On Time</v>
      </c>
    </row>
    <row r="12" spans="1:16" ht="22.65" customHeight="1" x14ac:dyDescent="0.35">
      <c r="A12" s="3" t="s">
        <v>66</v>
      </c>
      <c r="B12" s="3" t="s">
        <v>1</v>
      </c>
      <c r="C12" s="4">
        <v>46116</v>
      </c>
      <c r="D12" s="3" t="s">
        <v>40</v>
      </c>
      <c r="E12" s="1" t="s">
        <v>67</v>
      </c>
      <c r="F12" s="3" t="s">
        <v>4</v>
      </c>
      <c r="G12" s="3" t="s">
        <v>35</v>
      </c>
      <c r="H12" s="3" t="s">
        <v>42</v>
      </c>
      <c r="I12" s="4">
        <v>46146</v>
      </c>
      <c r="J12" s="4">
        <v>46156</v>
      </c>
      <c r="K12" s="3" t="s">
        <v>7</v>
      </c>
      <c r="L12" s="3" t="s">
        <v>8</v>
      </c>
      <c r="M12" s="3" t="s">
        <v>9</v>
      </c>
      <c r="N12" s="6">
        <f t="shared" si="0"/>
        <v>40</v>
      </c>
      <c r="O12" s="6">
        <f t="shared" si="1"/>
        <v>10</v>
      </c>
      <c r="P12" s="3" t="str">
        <f t="shared" si="2"/>
        <v>Overdue</v>
      </c>
    </row>
    <row r="13" spans="1:16" ht="22.65" customHeight="1" x14ac:dyDescent="0.35">
      <c r="A13" s="3" t="s">
        <v>68</v>
      </c>
      <c r="B13" s="3" t="s">
        <v>1</v>
      </c>
      <c r="C13" s="4">
        <v>46130</v>
      </c>
      <c r="D13" s="3" t="s">
        <v>27</v>
      </c>
      <c r="E13" s="1" t="s">
        <v>69</v>
      </c>
      <c r="F13" s="3" t="s">
        <v>4</v>
      </c>
      <c r="G13" s="3" t="s">
        <v>52</v>
      </c>
      <c r="H13" s="3" t="s">
        <v>30</v>
      </c>
      <c r="I13" s="4">
        <v>46160</v>
      </c>
      <c r="J13" s="4"/>
      <c r="K13" s="3" t="s">
        <v>70</v>
      </c>
      <c r="L13" s="3" t="s">
        <v>8</v>
      </c>
      <c r="M13" s="3" t="s">
        <v>63</v>
      </c>
      <c r="N13" s="6" t="str">
        <f t="shared" si="0"/>
        <v/>
      </c>
      <c r="O13" s="6">
        <f t="shared" si="1"/>
        <v>70</v>
      </c>
      <c r="P13" s="3" t="str">
        <f t="shared" si="2"/>
        <v>Overdue</v>
      </c>
    </row>
    <row r="14" spans="1:16" ht="22.65" customHeight="1" x14ac:dyDescent="0.35">
      <c r="A14" s="3" t="s">
        <v>71</v>
      </c>
      <c r="B14" s="3" t="s">
        <v>1</v>
      </c>
      <c r="C14" s="4">
        <v>46144</v>
      </c>
      <c r="D14" s="3" t="s">
        <v>2</v>
      </c>
      <c r="E14" s="1" t="s">
        <v>72</v>
      </c>
      <c r="F14" s="3" t="s">
        <v>48</v>
      </c>
      <c r="G14" s="3" t="s">
        <v>35</v>
      </c>
      <c r="H14" s="3" t="s">
        <v>73</v>
      </c>
      <c r="I14" s="4">
        <v>46174</v>
      </c>
      <c r="J14" s="4"/>
      <c r="K14" s="3" t="s">
        <v>74</v>
      </c>
      <c r="L14" s="3" t="s">
        <v>8</v>
      </c>
      <c r="M14" s="3" t="s">
        <v>63</v>
      </c>
      <c r="N14" s="6" t="str">
        <f t="shared" si="0"/>
        <v/>
      </c>
      <c r="O14" s="6">
        <f t="shared" si="1"/>
        <v>56</v>
      </c>
      <c r="P14" s="3" t="str">
        <f t="shared" si="2"/>
        <v>Overdue</v>
      </c>
    </row>
    <row r="15" spans="1:16" ht="22.65" customHeight="1" x14ac:dyDescent="0.35">
      <c r="A15" s="3" t="s">
        <v>75</v>
      </c>
      <c r="B15" s="3" t="s">
        <v>1</v>
      </c>
      <c r="C15" s="4">
        <v>46162</v>
      </c>
      <c r="D15" s="3" t="s">
        <v>32</v>
      </c>
      <c r="E15" s="1" t="s">
        <v>76</v>
      </c>
      <c r="F15" s="3" t="s">
        <v>4</v>
      </c>
      <c r="G15" s="3" t="s">
        <v>57</v>
      </c>
      <c r="H15" s="3" t="s">
        <v>53</v>
      </c>
      <c r="I15" s="4">
        <v>46192</v>
      </c>
      <c r="J15" s="4">
        <v>46198</v>
      </c>
      <c r="K15" s="3" t="s">
        <v>7</v>
      </c>
      <c r="L15" s="3" t="s">
        <v>8</v>
      </c>
      <c r="M15" s="3" t="s">
        <v>77</v>
      </c>
      <c r="N15" s="6">
        <f t="shared" si="0"/>
        <v>36</v>
      </c>
      <c r="O15" s="6">
        <f t="shared" si="1"/>
        <v>6</v>
      </c>
      <c r="P15" s="3" t="str">
        <f t="shared" si="2"/>
        <v>Overdue</v>
      </c>
    </row>
    <row r="16" spans="1:16" ht="22.65" customHeight="1" x14ac:dyDescent="0.35">
      <c r="A16" s="3" t="s">
        <v>78</v>
      </c>
      <c r="B16" s="3" t="s">
        <v>1</v>
      </c>
      <c r="C16" s="4">
        <v>46185</v>
      </c>
      <c r="D16" s="3" t="s">
        <v>27</v>
      </c>
      <c r="E16" s="1" t="s">
        <v>79</v>
      </c>
      <c r="F16" s="3" t="s">
        <v>4</v>
      </c>
      <c r="G16" s="3" t="s">
        <v>52</v>
      </c>
      <c r="H16" s="3" t="s">
        <v>36</v>
      </c>
      <c r="I16" s="4">
        <v>46215</v>
      </c>
      <c r="J16" s="4"/>
      <c r="K16" s="3" t="s">
        <v>80</v>
      </c>
      <c r="L16" s="3" t="s">
        <v>8</v>
      </c>
      <c r="M16" s="3" t="s">
        <v>63</v>
      </c>
      <c r="N16" s="6" t="str">
        <f t="shared" si="0"/>
        <v/>
      </c>
      <c r="O16" s="6">
        <f t="shared" si="1"/>
        <v>15</v>
      </c>
      <c r="P16" s="3" t="str">
        <f t="shared" si="2"/>
        <v>Overdue</v>
      </c>
    </row>
    <row r="17" spans="1:16" ht="22.65" customHeight="1" x14ac:dyDescent="0.35">
      <c r="A17" s="3" t="s">
        <v>81</v>
      </c>
      <c r="B17" s="3" t="s">
        <v>82</v>
      </c>
      <c r="C17" s="4">
        <v>46034</v>
      </c>
      <c r="D17" s="3" t="s">
        <v>2</v>
      </c>
      <c r="E17" s="1" t="s">
        <v>83</v>
      </c>
      <c r="F17" s="3" t="s">
        <v>4</v>
      </c>
      <c r="G17" s="3" t="s">
        <v>52</v>
      </c>
      <c r="H17" s="3" t="s">
        <v>73</v>
      </c>
      <c r="I17" s="4">
        <v>46079</v>
      </c>
      <c r="J17" s="4">
        <v>46075</v>
      </c>
      <c r="K17" s="3" t="s">
        <v>7</v>
      </c>
      <c r="L17" s="3" t="s">
        <v>8</v>
      </c>
      <c r="M17" s="3" t="s">
        <v>9</v>
      </c>
      <c r="N17" s="6">
        <f t="shared" si="0"/>
        <v>41</v>
      </c>
      <c r="O17" s="6">
        <f t="shared" si="1"/>
        <v>0</v>
      </c>
      <c r="P17" s="3" t="str">
        <f t="shared" si="2"/>
        <v>On Time</v>
      </c>
    </row>
    <row r="18" spans="1:16" ht="22.65" customHeight="1" x14ac:dyDescent="0.35">
      <c r="A18" s="3" t="s">
        <v>84</v>
      </c>
      <c r="B18" s="3" t="s">
        <v>82</v>
      </c>
      <c r="C18" s="4">
        <v>46051</v>
      </c>
      <c r="D18" s="3" t="s">
        <v>27</v>
      </c>
      <c r="E18" s="1" t="s">
        <v>85</v>
      </c>
      <c r="F18" s="3" t="s">
        <v>4</v>
      </c>
      <c r="G18" s="3" t="s">
        <v>29</v>
      </c>
      <c r="H18" s="3" t="s">
        <v>58</v>
      </c>
      <c r="I18" s="4">
        <v>46096</v>
      </c>
      <c r="J18" s="4">
        <v>46102</v>
      </c>
      <c r="K18" s="3" t="s">
        <v>7</v>
      </c>
      <c r="L18" s="3" t="s">
        <v>8</v>
      </c>
      <c r="M18" s="3" t="s">
        <v>9</v>
      </c>
      <c r="N18" s="6">
        <f t="shared" si="0"/>
        <v>51</v>
      </c>
      <c r="O18" s="6">
        <f t="shared" si="1"/>
        <v>6</v>
      </c>
      <c r="P18" s="3" t="str">
        <f t="shared" si="2"/>
        <v>Overdue</v>
      </c>
    </row>
    <row r="19" spans="1:16" ht="22.65" customHeight="1" x14ac:dyDescent="0.35">
      <c r="A19" s="3" t="s">
        <v>86</v>
      </c>
      <c r="B19" s="3" t="s">
        <v>82</v>
      </c>
      <c r="C19" s="4">
        <v>46060</v>
      </c>
      <c r="D19" s="3" t="s">
        <v>40</v>
      </c>
      <c r="E19" s="1" t="s">
        <v>87</v>
      </c>
      <c r="F19" s="3" t="s">
        <v>4</v>
      </c>
      <c r="G19" s="3" t="s">
        <v>35</v>
      </c>
      <c r="H19" s="3" t="s">
        <v>42</v>
      </c>
      <c r="I19" s="4">
        <v>46105</v>
      </c>
      <c r="J19" s="4">
        <v>46099</v>
      </c>
      <c r="K19" s="3" t="s">
        <v>7</v>
      </c>
      <c r="L19" s="3" t="s">
        <v>8</v>
      </c>
      <c r="M19" s="3" t="s">
        <v>9</v>
      </c>
      <c r="N19" s="6">
        <f t="shared" si="0"/>
        <v>39</v>
      </c>
      <c r="O19" s="6">
        <f t="shared" si="1"/>
        <v>0</v>
      </c>
      <c r="P19" s="3" t="str">
        <f t="shared" si="2"/>
        <v>On Time</v>
      </c>
    </row>
    <row r="20" spans="1:16" ht="22.65" customHeight="1" x14ac:dyDescent="0.35">
      <c r="A20" s="3" t="s">
        <v>88</v>
      </c>
      <c r="B20" s="3" t="s">
        <v>82</v>
      </c>
      <c r="C20" s="4">
        <v>46073</v>
      </c>
      <c r="D20" s="3" t="s">
        <v>45</v>
      </c>
      <c r="E20" s="1" t="s">
        <v>89</v>
      </c>
      <c r="F20" s="3" t="s">
        <v>4</v>
      </c>
      <c r="G20" s="3" t="s">
        <v>35</v>
      </c>
      <c r="H20" s="3" t="s">
        <v>45</v>
      </c>
      <c r="I20" s="4">
        <v>46118</v>
      </c>
      <c r="J20" s="4">
        <v>46115</v>
      </c>
      <c r="K20" s="3" t="s">
        <v>7</v>
      </c>
      <c r="L20" s="3" t="s">
        <v>8</v>
      </c>
      <c r="M20" s="3" t="s">
        <v>9</v>
      </c>
      <c r="N20" s="6">
        <f t="shared" si="0"/>
        <v>42</v>
      </c>
      <c r="O20" s="6">
        <f t="shared" si="1"/>
        <v>0</v>
      </c>
      <c r="P20" s="3" t="str">
        <f t="shared" si="2"/>
        <v>On Time</v>
      </c>
    </row>
    <row r="21" spans="1:16" ht="22.65" customHeight="1" x14ac:dyDescent="0.35">
      <c r="A21" s="3" t="s">
        <v>90</v>
      </c>
      <c r="B21" s="3" t="s">
        <v>82</v>
      </c>
      <c r="C21" s="4">
        <v>46086</v>
      </c>
      <c r="D21" s="3" t="s">
        <v>27</v>
      </c>
      <c r="E21" s="1" t="s">
        <v>91</v>
      </c>
      <c r="F21" s="3" t="s">
        <v>48</v>
      </c>
      <c r="G21" s="3" t="s">
        <v>52</v>
      </c>
      <c r="H21" s="3" t="s">
        <v>92</v>
      </c>
      <c r="I21" s="4">
        <v>46131</v>
      </c>
      <c r="J21" s="4">
        <v>46140</v>
      </c>
      <c r="K21" s="3" t="s">
        <v>7</v>
      </c>
      <c r="L21" s="3" t="s">
        <v>8</v>
      </c>
      <c r="M21" s="3" t="s">
        <v>9</v>
      </c>
      <c r="N21" s="6">
        <f t="shared" si="0"/>
        <v>54</v>
      </c>
      <c r="O21" s="6">
        <f t="shared" si="1"/>
        <v>9</v>
      </c>
      <c r="P21" s="3" t="str">
        <f t="shared" si="2"/>
        <v>Overdue</v>
      </c>
    </row>
    <row r="22" spans="1:16" ht="22.65" customHeight="1" x14ac:dyDescent="0.35">
      <c r="A22" s="3" t="s">
        <v>93</v>
      </c>
      <c r="B22" s="3" t="s">
        <v>82</v>
      </c>
      <c r="C22" s="4">
        <v>46109</v>
      </c>
      <c r="D22" s="3" t="s">
        <v>55</v>
      </c>
      <c r="E22" s="1" t="s">
        <v>94</v>
      </c>
      <c r="F22" s="3" t="s">
        <v>4</v>
      </c>
      <c r="G22" s="3" t="s">
        <v>35</v>
      </c>
      <c r="H22" s="3" t="s">
        <v>58</v>
      </c>
      <c r="I22" s="4">
        <v>46154</v>
      </c>
      <c r="J22" s="4">
        <v>46172</v>
      </c>
      <c r="K22" s="3" t="s">
        <v>7</v>
      </c>
      <c r="L22" s="3" t="s">
        <v>8</v>
      </c>
      <c r="M22" s="3" t="s">
        <v>77</v>
      </c>
      <c r="N22" s="6">
        <f t="shared" si="0"/>
        <v>63</v>
      </c>
      <c r="O22" s="6">
        <f t="shared" si="1"/>
        <v>18</v>
      </c>
      <c r="P22" s="3" t="str">
        <f t="shared" si="2"/>
        <v>Overdue</v>
      </c>
    </row>
    <row r="23" spans="1:16" ht="22.65" customHeight="1" x14ac:dyDescent="0.35">
      <c r="A23" s="3" t="s">
        <v>95</v>
      </c>
      <c r="B23" s="3" t="s">
        <v>82</v>
      </c>
      <c r="C23" s="4">
        <v>46127</v>
      </c>
      <c r="D23" s="3" t="s">
        <v>2</v>
      </c>
      <c r="E23" s="1" t="s">
        <v>96</v>
      </c>
      <c r="F23" s="3" t="s">
        <v>48</v>
      </c>
      <c r="G23" s="3" t="s">
        <v>61</v>
      </c>
      <c r="H23" s="3" t="s">
        <v>49</v>
      </c>
      <c r="I23" s="4">
        <v>46172</v>
      </c>
      <c r="J23" s="4"/>
      <c r="K23" s="3" t="s">
        <v>70</v>
      </c>
      <c r="L23" s="3" t="s">
        <v>8</v>
      </c>
      <c r="M23" s="3" t="s">
        <v>63</v>
      </c>
      <c r="N23" s="6" t="str">
        <f t="shared" si="0"/>
        <v/>
      </c>
      <c r="O23" s="6">
        <f t="shared" si="1"/>
        <v>58</v>
      </c>
      <c r="P23" s="3" t="str">
        <f t="shared" si="2"/>
        <v>Overdue</v>
      </c>
    </row>
    <row r="24" spans="1:16" ht="22.65" customHeight="1" x14ac:dyDescent="0.35">
      <c r="A24" s="3" t="s">
        <v>97</v>
      </c>
      <c r="B24" s="3" t="s">
        <v>82</v>
      </c>
      <c r="C24" s="4">
        <v>46143</v>
      </c>
      <c r="D24" s="3" t="s">
        <v>40</v>
      </c>
      <c r="E24" s="1" t="s">
        <v>98</v>
      </c>
      <c r="F24" s="3" t="s">
        <v>4</v>
      </c>
      <c r="G24" s="3" t="s">
        <v>35</v>
      </c>
      <c r="H24" s="3" t="s">
        <v>42</v>
      </c>
      <c r="I24" s="4">
        <v>46188</v>
      </c>
      <c r="J24" s="4">
        <v>46183</v>
      </c>
      <c r="K24" s="3" t="s">
        <v>7</v>
      </c>
      <c r="L24" s="3" t="s">
        <v>8</v>
      </c>
      <c r="M24" s="3" t="s">
        <v>63</v>
      </c>
      <c r="N24" s="6">
        <f t="shared" si="0"/>
        <v>40</v>
      </c>
      <c r="O24" s="6">
        <f t="shared" si="1"/>
        <v>0</v>
      </c>
      <c r="P24" s="3" t="str">
        <f t="shared" si="2"/>
        <v>On Time</v>
      </c>
    </row>
    <row r="25" spans="1:16" ht="22.65" customHeight="1" x14ac:dyDescent="0.35">
      <c r="A25" s="3" t="s">
        <v>99</v>
      </c>
      <c r="B25" s="3" t="s">
        <v>82</v>
      </c>
      <c r="C25" s="4">
        <v>46166</v>
      </c>
      <c r="D25" s="3" t="s">
        <v>32</v>
      </c>
      <c r="E25" s="1" t="s">
        <v>100</v>
      </c>
      <c r="F25" s="3" t="s">
        <v>4</v>
      </c>
      <c r="G25" s="3" t="s">
        <v>57</v>
      </c>
      <c r="H25" s="3" t="s">
        <v>53</v>
      </c>
      <c r="I25" s="4">
        <v>46211</v>
      </c>
      <c r="J25" s="4"/>
      <c r="K25" s="3" t="s">
        <v>74</v>
      </c>
      <c r="L25" s="3" t="s">
        <v>8</v>
      </c>
      <c r="M25" s="3" t="s">
        <v>63</v>
      </c>
      <c r="N25" s="6" t="str">
        <f t="shared" si="0"/>
        <v/>
      </c>
      <c r="O25" s="6">
        <f t="shared" si="1"/>
        <v>19</v>
      </c>
      <c r="P25" s="3" t="str">
        <f t="shared" si="2"/>
        <v>Overdue</v>
      </c>
    </row>
    <row r="26" spans="1:16" ht="22.65" customHeight="1" x14ac:dyDescent="0.35">
      <c r="A26" s="3" t="s">
        <v>101</v>
      </c>
      <c r="B26" s="3" t="s">
        <v>82</v>
      </c>
      <c r="C26" s="4">
        <v>46195</v>
      </c>
      <c r="D26" s="3" t="s">
        <v>27</v>
      </c>
      <c r="E26" s="1" t="s">
        <v>102</v>
      </c>
      <c r="F26" s="3" t="s">
        <v>4</v>
      </c>
      <c r="G26" s="3" t="s">
        <v>52</v>
      </c>
      <c r="H26" s="3" t="s">
        <v>103</v>
      </c>
      <c r="I26" s="4">
        <v>46240</v>
      </c>
      <c r="J26" s="4"/>
      <c r="K26" s="3" t="s">
        <v>80</v>
      </c>
      <c r="L26" s="3" t="s">
        <v>8</v>
      </c>
      <c r="M26" s="3" t="s">
        <v>63</v>
      </c>
      <c r="N26" s="6" t="str">
        <f t="shared" si="0"/>
        <v/>
      </c>
      <c r="O26" s="6">
        <f t="shared" si="1"/>
        <v>0</v>
      </c>
      <c r="P26" s="3" t="str">
        <f t="shared" si="2"/>
        <v>On Time</v>
      </c>
    </row>
    <row r="27" spans="1:16" ht="22.65" customHeight="1" x14ac:dyDescent="0.35">
      <c r="A27" s="3" t="s">
        <v>104</v>
      </c>
      <c r="B27" s="3" t="s">
        <v>105</v>
      </c>
      <c r="C27" s="4">
        <v>46040</v>
      </c>
      <c r="D27" s="3" t="s">
        <v>32</v>
      </c>
      <c r="E27" s="1" t="s">
        <v>106</v>
      </c>
      <c r="F27" s="3" t="s">
        <v>4</v>
      </c>
      <c r="G27" s="3" t="s">
        <v>107</v>
      </c>
      <c r="H27" s="3" t="s">
        <v>108</v>
      </c>
      <c r="I27" s="4">
        <v>46100</v>
      </c>
      <c r="J27" s="4">
        <v>46092</v>
      </c>
      <c r="K27" s="3" t="s">
        <v>7</v>
      </c>
      <c r="L27" s="3" t="s">
        <v>37</v>
      </c>
      <c r="M27" s="3" t="s">
        <v>38</v>
      </c>
      <c r="N27" s="6">
        <f t="shared" si="0"/>
        <v>52</v>
      </c>
      <c r="O27" s="6">
        <f t="shared" si="1"/>
        <v>0</v>
      </c>
      <c r="P27" s="3" t="str">
        <f t="shared" si="2"/>
        <v>On Time</v>
      </c>
    </row>
    <row r="28" spans="1:16" ht="22.65" customHeight="1" x14ac:dyDescent="0.35">
      <c r="A28" s="3" t="s">
        <v>109</v>
      </c>
      <c r="B28" s="3" t="s">
        <v>105</v>
      </c>
      <c r="C28" s="4">
        <v>46079</v>
      </c>
      <c r="D28" s="3" t="s">
        <v>27</v>
      </c>
      <c r="E28" s="1" t="s">
        <v>110</v>
      </c>
      <c r="F28" s="3" t="s">
        <v>48</v>
      </c>
      <c r="G28" s="3" t="s">
        <v>57</v>
      </c>
      <c r="H28" s="3" t="s">
        <v>111</v>
      </c>
      <c r="I28" s="4">
        <v>46139</v>
      </c>
      <c r="J28" s="4">
        <v>46148</v>
      </c>
      <c r="K28" s="3" t="s">
        <v>7</v>
      </c>
      <c r="L28" s="3" t="s">
        <v>37</v>
      </c>
      <c r="M28" s="3" t="s">
        <v>38</v>
      </c>
      <c r="N28" s="6">
        <f t="shared" si="0"/>
        <v>69</v>
      </c>
      <c r="O28" s="6">
        <f t="shared" si="1"/>
        <v>9</v>
      </c>
      <c r="P28" s="3" t="str">
        <f t="shared" si="2"/>
        <v>Overdue</v>
      </c>
    </row>
    <row r="29" spans="1:16" ht="22.65" customHeight="1" x14ac:dyDescent="0.35">
      <c r="A29" s="3" t="s">
        <v>112</v>
      </c>
      <c r="B29" s="3" t="s">
        <v>105</v>
      </c>
      <c r="C29" s="4">
        <v>46111</v>
      </c>
      <c r="D29" s="3" t="s">
        <v>45</v>
      </c>
      <c r="E29" s="1" t="s">
        <v>113</v>
      </c>
      <c r="F29" s="3" t="s">
        <v>4</v>
      </c>
      <c r="G29" s="3" t="s">
        <v>35</v>
      </c>
      <c r="H29" s="3" t="s">
        <v>45</v>
      </c>
      <c r="I29" s="4">
        <v>46171</v>
      </c>
      <c r="J29" s="4">
        <v>46167</v>
      </c>
      <c r="K29" s="3" t="s">
        <v>7</v>
      </c>
      <c r="L29" s="3" t="s">
        <v>37</v>
      </c>
      <c r="M29" s="3" t="s">
        <v>38</v>
      </c>
      <c r="N29" s="6">
        <f t="shared" si="0"/>
        <v>56</v>
      </c>
      <c r="O29" s="6">
        <f t="shared" si="1"/>
        <v>0</v>
      </c>
      <c r="P29" s="3" t="str">
        <f t="shared" si="2"/>
        <v>On Time</v>
      </c>
    </row>
    <row r="30" spans="1:16" ht="22.65" customHeight="1" x14ac:dyDescent="0.35">
      <c r="A30" s="3" t="s">
        <v>114</v>
      </c>
      <c r="B30" s="3" t="s">
        <v>105</v>
      </c>
      <c r="C30" s="4">
        <v>46150</v>
      </c>
      <c r="D30" s="3" t="s">
        <v>40</v>
      </c>
      <c r="E30" s="1" t="s">
        <v>115</v>
      </c>
      <c r="F30" s="3" t="s">
        <v>34</v>
      </c>
      <c r="G30" s="3" t="s">
        <v>35</v>
      </c>
      <c r="H30" s="3" t="s">
        <v>42</v>
      </c>
      <c r="I30" s="4">
        <v>46210</v>
      </c>
      <c r="J30" s="4"/>
      <c r="K30" s="3" t="s">
        <v>74</v>
      </c>
      <c r="L30" s="3" t="s">
        <v>37</v>
      </c>
      <c r="M30" s="3" t="s">
        <v>38</v>
      </c>
      <c r="N30" s="6" t="str">
        <f t="shared" si="0"/>
        <v/>
      </c>
      <c r="O30" s="6">
        <f t="shared" si="1"/>
        <v>20</v>
      </c>
      <c r="P30" s="3" t="str">
        <f t="shared" si="2"/>
        <v>Overdue</v>
      </c>
    </row>
    <row r="31" spans="1:16" ht="22.65" customHeight="1" x14ac:dyDescent="0.35">
      <c r="A31" s="3" t="s">
        <v>116</v>
      </c>
      <c r="B31" s="3" t="s">
        <v>105</v>
      </c>
      <c r="C31" s="4">
        <v>46183</v>
      </c>
      <c r="D31" s="3" t="s">
        <v>2</v>
      </c>
      <c r="E31" s="1" t="s">
        <v>117</v>
      </c>
      <c r="F31" s="3" t="s">
        <v>4</v>
      </c>
      <c r="G31" s="3" t="s">
        <v>57</v>
      </c>
      <c r="H31" s="3" t="s">
        <v>73</v>
      </c>
      <c r="I31" s="4">
        <v>46243</v>
      </c>
      <c r="J31" s="4"/>
      <c r="K31" s="3" t="s">
        <v>80</v>
      </c>
      <c r="L31" s="3" t="s">
        <v>37</v>
      </c>
      <c r="M31" s="3" t="s">
        <v>38</v>
      </c>
      <c r="N31" s="6" t="str">
        <f t="shared" si="0"/>
        <v/>
      </c>
      <c r="O31" s="6">
        <f t="shared" si="1"/>
        <v>0</v>
      </c>
      <c r="P31" s="3" t="str">
        <f t="shared" si="2"/>
        <v>On Time</v>
      </c>
    </row>
    <row r="32" spans="1:16" ht="22.65" customHeight="1" x14ac:dyDescent="0.35">
      <c r="A32" s="3" t="s">
        <v>118</v>
      </c>
      <c r="B32" s="3" t="s">
        <v>119</v>
      </c>
      <c r="C32" s="4">
        <v>46052</v>
      </c>
      <c r="D32" s="3" t="s">
        <v>32</v>
      </c>
      <c r="E32" s="1" t="s">
        <v>120</v>
      </c>
      <c r="F32" s="3" t="s">
        <v>4</v>
      </c>
      <c r="G32" s="3" t="s">
        <v>52</v>
      </c>
      <c r="H32" s="3" t="s">
        <v>103</v>
      </c>
      <c r="I32" s="4">
        <v>46082</v>
      </c>
      <c r="J32" s="4">
        <v>46078</v>
      </c>
      <c r="K32" s="3" t="s">
        <v>7</v>
      </c>
      <c r="L32" s="3" t="s">
        <v>8</v>
      </c>
      <c r="M32" s="3" t="s">
        <v>9</v>
      </c>
      <c r="N32" s="6">
        <f t="shared" si="0"/>
        <v>26</v>
      </c>
      <c r="O32" s="6">
        <f t="shared" si="1"/>
        <v>0</v>
      </c>
      <c r="P32" s="3" t="str">
        <f t="shared" si="2"/>
        <v>On Time</v>
      </c>
    </row>
    <row r="33" spans="1:16" ht="22.65" customHeight="1" x14ac:dyDescent="0.35">
      <c r="A33" s="3" t="s">
        <v>121</v>
      </c>
      <c r="B33" s="3" t="s">
        <v>119</v>
      </c>
      <c r="C33" s="4">
        <v>46067</v>
      </c>
      <c r="D33" s="3" t="s">
        <v>45</v>
      </c>
      <c r="E33" s="1" t="s">
        <v>122</v>
      </c>
      <c r="F33" s="3" t="s">
        <v>34</v>
      </c>
      <c r="G33" s="3" t="s">
        <v>35</v>
      </c>
      <c r="H33" s="3" t="s">
        <v>45</v>
      </c>
      <c r="I33" s="4">
        <v>46097</v>
      </c>
      <c r="J33" s="4">
        <v>46101</v>
      </c>
      <c r="K33" s="3" t="s">
        <v>7</v>
      </c>
      <c r="L33" s="3" t="s">
        <v>37</v>
      </c>
      <c r="M33" s="3" t="s">
        <v>38</v>
      </c>
      <c r="N33" s="6">
        <f t="shared" si="0"/>
        <v>34</v>
      </c>
      <c r="O33" s="6">
        <f t="shared" si="1"/>
        <v>4</v>
      </c>
      <c r="P33" s="3" t="str">
        <f t="shared" si="2"/>
        <v>Overdue</v>
      </c>
    </row>
    <row r="34" spans="1:16" ht="22.65" customHeight="1" x14ac:dyDescent="0.35">
      <c r="A34" s="3" t="s">
        <v>123</v>
      </c>
      <c r="B34" s="3" t="s">
        <v>119</v>
      </c>
      <c r="C34" s="4">
        <v>46103</v>
      </c>
      <c r="D34" s="3" t="s">
        <v>27</v>
      </c>
      <c r="E34" s="1" t="s">
        <v>124</v>
      </c>
      <c r="F34" s="3" t="s">
        <v>4</v>
      </c>
      <c r="G34" s="3" t="s">
        <v>52</v>
      </c>
      <c r="H34" s="3" t="s">
        <v>92</v>
      </c>
      <c r="I34" s="4">
        <v>46133</v>
      </c>
      <c r="J34" s="4">
        <v>46144</v>
      </c>
      <c r="K34" s="3" t="s">
        <v>7</v>
      </c>
      <c r="L34" s="3" t="s">
        <v>8</v>
      </c>
      <c r="M34" s="3" t="s">
        <v>9</v>
      </c>
      <c r="N34" s="6">
        <f t="shared" si="0"/>
        <v>41</v>
      </c>
      <c r="O34" s="6">
        <f t="shared" si="1"/>
        <v>11</v>
      </c>
      <c r="P34" s="3" t="str">
        <f t="shared" si="2"/>
        <v>Overdue</v>
      </c>
    </row>
    <row r="35" spans="1:16" ht="22.65" customHeight="1" x14ac:dyDescent="0.35">
      <c r="A35" s="3" t="s">
        <v>125</v>
      </c>
      <c r="B35" s="3" t="s">
        <v>119</v>
      </c>
      <c r="C35" s="4">
        <v>46157</v>
      </c>
      <c r="D35" s="3" t="s">
        <v>55</v>
      </c>
      <c r="E35" s="1" t="s">
        <v>126</v>
      </c>
      <c r="F35" s="3" t="s">
        <v>4</v>
      </c>
      <c r="G35" s="3" t="s">
        <v>57</v>
      </c>
      <c r="H35" s="3" t="s">
        <v>58</v>
      </c>
      <c r="I35" s="4">
        <v>46187</v>
      </c>
      <c r="J35" s="4"/>
      <c r="K35" s="3" t="s">
        <v>70</v>
      </c>
      <c r="L35" s="3" t="s">
        <v>8</v>
      </c>
      <c r="M35" s="3" t="s">
        <v>63</v>
      </c>
      <c r="N35" s="6" t="str">
        <f t="shared" si="0"/>
        <v/>
      </c>
      <c r="O35" s="6">
        <f t="shared" si="1"/>
        <v>43</v>
      </c>
      <c r="P35" s="3" t="str">
        <f t="shared" si="2"/>
        <v>Overdue</v>
      </c>
    </row>
    <row r="36" spans="1:16" ht="22.65" customHeight="1" x14ac:dyDescent="0.35">
      <c r="A36" s="3" t="s">
        <v>127</v>
      </c>
      <c r="B36" s="3" t="s">
        <v>119</v>
      </c>
      <c r="C36" s="4">
        <v>46198</v>
      </c>
      <c r="D36" s="3" t="s">
        <v>2</v>
      </c>
      <c r="E36" s="1" t="s">
        <v>128</v>
      </c>
      <c r="F36" s="3" t="s">
        <v>34</v>
      </c>
      <c r="G36" s="3" t="s">
        <v>5</v>
      </c>
      <c r="H36" s="3" t="s">
        <v>73</v>
      </c>
      <c r="I36" s="4">
        <v>46228</v>
      </c>
      <c r="J36" s="4"/>
      <c r="K36" s="3" t="s">
        <v>80</v>
      </c>
      <c r="L36" s="3" t="s">
        <v>37</v>
      </c>
      <c r="M36" s="3" t="s">
        <v>38</v>
      </c>
      <c r="N36" s="6" t="str">
        <f t="shared" si="0"/>
        <v/>
      </c>
      <c r="O36" s="6">
        <f t="shared" si="1"/>
        <v>2</v>
      </c>
      <c r="P36" s="3" t="str">
        <f t="shared" si="2"/>
        <v>Overdue</v>
      </c>
    </row>
    <row r="37" spans="1:16" ht="22.65" customHeight="1" x14ac:dyDescent="0.35">
      <c r="A37" s="3" t="s">
        <v>129</v>
      </c>
      <c r="B37" s="3" t="s">
        <v>130</v>
      </c>
      <c r="C37" s="4">
        <v>46047</v>
      </c>
      <c r="D37" s="3" t="s">
        <v>2</v>
      </c>
      <c r="E37" s="1" t="s">
        <v>131</v>
      </c>
      <c r="F37" s="3" t="s">
        <v>48</v>
      </c>
      <c r="G37" s="3" t="s">
        <v>107</v>
      </c>
      <c r="H37" s="3" t="s">
        <v>132</v>
      </c>
      <c r="I37" s="4">
        <v>46077</v>
      </c>
      <c r="J37" s="4">
        <v>46080</v>
      </c>
      <c r="K37" s="3" t="s">
        <v>7</v>
      </c>
      <c r="L37" s="3" t="s">
        <v>8</v>
      </c>
      <c r="M37" s="3" t="s">
        <v>9</v>
      </c>
      <c r="N37" s="6">
        <f t="shared" si="0"/>
        <v>33</v>
      </c>
      <c r="O37" s="6">
        <f t="shared" si="1"/>
        <v>3</v>
      </c>
      <c r="P37" s="3" t="str">
        <f t="shared" si="2"/>
        <v>Overdue</v>
      </c>
    </row>
    <row r="38" spans="1:16" ht="22.65" customHeight="1" x14ac:dyDescent="0.35">
      <c r="A38" s="3" t="s">
        <v>133</v>
      </c>
      <c r="B38" s="3" t="s">
        <v>130</v>
      </c>
      <c r="C38" s="4">
        <v>46072</v>
      </c>
      <c r="D38" s="3" t="s">
        <v>2</v>
      </c>
      <c r="E38" s="1" t="s">
        <v>134</v>
      </c>
      <c r="F38" s="3" t="s">
        <v>4</v>
      </c>
      <c r="G38" s="3" t="s">
        <v>57</v>
      </c>
      <c r="H38" s="3" t="s">
        <v>132</v>
      </c>
      <c r="I38" s="4">
        <v>46102</v>
      </c>
      <c r="J38" s="4">
        <v>46098</v>
      </c>
      <c r="K38" s="3" t="s">
        <v>7</v>
      </c>
      <c r="L38" s="3" t="s">
        <v>8</v>
      </c>
      <c r="M38" s="3" t="s">
        <v>9</v>
      </c>
      <c r="N38" s="6">
        <f t="shared" si="0"/>
        <v>26</v>
      </c>
      <c r="O38" s="6">
        <f t="shared" si="1"/>
        <v>0</v>
      </c>
      <c r="P38" s="3" t="str">
        <f t="shared" si="2"/>
        <v>On Time</v>
      </c>
    </row>
    <row r="39" spans="1:16" ht="22.65" customHeight="1" x14ac:dyDescent="0.35">
      <c r="A39" s="3" t="s">
        <v>135</v>
      </c>
      <c r="B39" s="3" t="s">
        <v>130</v>
      </c>
      <c r="C39" s="4">
        <v>46114</v>
      </c>
      <c r="D39" s="3" t="s">
        <v>32</v>
      </c>
      <c r="E39" s="1" t="s">
        <v>136</v>
      </c>
      <c r="F39" s="3" t="s">
        <v>34</v>
      </c>
      <c r="G39" s="3" t="s">
        <v>107</v>
      </c>
      <c r="H39" s="3" t="s">
        <v>137</v>
      </c>
      <c r="I39" s="4">
        <v>46144</v>
      </c>
      <c r="J39" s="4">
        <v>46138</v>
      </c>
      <c r="K39" s="3" t="s">
        <v>7</v>
      </c>
      <c r="L39" s="3" t="s">
        <v>37</v>
      </c>
      <c r="M39" s="3" t="s">
        <v>38</v>
      </c>
      <c r="N39" s="6">
        <f t="shared" si="0"/>
        <v>24</v>
      </c>
      <c r="O39" s="6">
        <f t="shared" si="1"/>
        <v>0</v>
      </c>
      <c r="P39" s="3" t="str">
        <f t="shared" si="2"/>
        <v>On Time</v>
      </c>
    </row>
    <row r="40" spans="1:16" ht="22.65" customHeight="1" x14ac:dyDescent="0.35">
      <c r="A40" s="3" t="s">
        <v>138</v>
      </c>
      <c r="B40" s="3" t="s">
        <v>130</v>
      </c>
      <c r="C40" s="4">
        <v>46170</v>
      </c>
      <c r="D40" s="3" t="s">
        <v>2</v>
      </c>
      <c r="E40" s="1" t="s">
        <v>139</v>
      </c>
      <c r="F40" s="3" t="s">
        <v>4</v>
      </c>
      <c r="G40" s="3" t="s">
        <v>107</v>
      </c>
      <c r="H40" s="3" t="s">
        <v>132</v>
      </c>
      <c r="I40" s="4">
        <v>46200</v>
      </c>
      <c r="J40" s="4"/>
      <c r="K40" s="3" t="s">
        <v>62</v>
      </c>
      <c r="L40" s="3" t="s">
        <v>8</v>
      </c>
      <c r="M40" s="3" t="s">
        <v>63</v>
      </c>
      <c r="N40" s="6" t="str">
        <f t="shared" si="0"/>
        <v/>
      </c>
      <c r="O40" s="6">
        <f t="shared" si="1"/>
        <v>30</v>
      </c>
      <c r="P40" s="3" t="str">
        <f t="shared" si="2"/>
        <v>Overdue</v>
      </c>
    </row>
    <row r="41" spans="1:16" ht="22.65" customHeight="1" x14ac:dyDescent="0.35">
      <c r="A41" s="3" t="s">
        <v>140</v>
      </c>
      <c r="B41" s="3" t="s">
        <v>130</v>
      </c>
      <c r="C41" s="4">
        <v>46203</v>
      </c>
      <c r="D41" s="3" t="s">
        <v>2</v>
      </c>
      <c r="E41" s="1" t="s">
        <v>141</v>
      </c>
      <c r="F41" s="3" t="s">
        <v>48</v>
      </c>
      <c r="G41" s="3" t="s">
        <v>107</v>
      </c>
      <c r="H41" s="3" t="s">
        <v>132</v>
      </c>
      <c r="I41" s="4">
        <v>46233</v>
      </c>
      <c r="J41" s="4"/>
      <c r="K41" s="3" t="s">
        <v>80</v>
      </c>
      <c r="L41" s="3" t="s">
        <v>8</v>
      </c>
      <c r="M41" s="3" t="s">
        <v>63</v>
      </c>
      <c r="N41" s="6" t="str">
        <f t="shared" si="0"/>
        <v/>
      </c>
      <c r="O41" s="6">
        <f t="shared" si="1"/>
        <v>0</v>
      </c>
      <c r="P41" s="3" t="str">
        <f t="shared" si="2"/>
        <v>On Time</v>
      </c>
    </row>
  </sheetData>
  <conditionalFormatting sqref="F2:F41">
    <cfRule type="containsText" dxfId="4" priority="1" operator="containsText" text="Critical"/>
    <cfRule type="containsText" dxfId="3" priority="2" operator="containsText" text="Major"/>
    <cfRule type="containsText" dxfId="2" priority="3" operator="containsText" text="Minor"/>
  </conditionalFormatting>
  <conditionalFormatting sqref="P2:P41">
    <cfRule type="containsText" dxfId="1" priority="4" operator="containsText" text="Overdue"/>
    <cfRule type="containsText" dxfId="0" priority="5" operator="containsText" text="On Time"/>
  </conditionalFormatting>
  <dataValidations count="3">
    <dataValidation type="list" sqref="B2:B41" xr:uid="{00000000-0002-0000-0000-000000000000}">
      <formula1>"Deviation,CAPA,Change Control,Audit Finding,Complaint"</formula1>
    </dataValidation>
    <dataValidation type="list" sqref="F2:F41" xr:uid="{00000000-0002-0000-0000-000001000000}">
      <formula1>"Critical,Major,Minor"</formula1>
    </dataValidation>
    <dataValidation type="list" sqref="K2:K41" xr:uid="{00000000-0002-0000-0000-000002000000}">
      <formula1>"Open,Under Investigation,CAPA in Progress,Pending Approval,Closed"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Nikitha pentyala</dc:creator>
  <cp:lastModifiedBy>Nikitha pentyala</cp:lastModifiedBy>
  <dcterms:created xsi:type="dcterms:W3CDTF">2026-07-27T18:23:26Z</dcterms:created>
  <dcterms:modified xsi:type="dcterms:W3CDTF">2026-07-27T18:33:46Z</dcterms:modified>
</cp:coreProperties>
</file>